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Маркетплейс" sheetId="1" state="visible" r:id="rId1"/>
    <sheet xmlns:r="http://schemas.openxmlformats.org/officeDocument/2006/relationships" name="2. SaaS-подписка" sheetId="2" state="visible" r:id="rId2"/>
    <sheet xmlns:r="http://schemas.openxmlformats.org/officeDocument/2006/relationships" name="3. EdTech — когор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1F4E79"/>
      <sz val="10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EBEB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0" fontId="0" fillId="0" borderId="2" pivotButton="0" quotePrefix="0" xfId="0"/>
    <xf numFmtId="0" fontId="3" fillId="4" borderId="2" applyAlignment="1" pivotButton="0" quotePrefix="0" xfId="0">
      <alignment horizontal="center"/>
    </xf>
    <xf numFmtId="0" fontId="2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4" fillId="0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/>
    </xf>
    <xf numFmtId="0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/>
    </xf>
    <xf numFmtId="9" fontId="4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center"/>
    </xf>
    <xf numFmtId="0" fontId="4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 ht="30" customHeight="1">
      <c r="A1" s="1" t="inlineStr">
        <is>
          <t>Лист 1 — Маркетплейс одежды</t>
        </is>
      </c>
    </row>
    <row r="2" ht="20" customHeight="1">
      <c r="A2" s="2" t="inlineStr">
        <is>
          <t>Маркетплейс с продавцами. Берёт комиссию с каждой продажи. Данные за месяц.</t>
        </is>
      </c>
    </row>
    <row r="3" ht="18" customHeight="1">
      <c r="A3" s="3" t="inlineStr">
        <is>
          <t>🟡 Жёлтые ячейки — заполни формулой.  ✅ Зелёные — итоговые выводы.</t>
        </is>
      </c>
    </row>
    <row r="4" ht="22" customHeight="1">
      <c r="A4" s="4" t="inlineStr">
        <is>
          <t>ИСХОДНЫЕ ДАННЫЕ</t>
        </is>
      </c>
    </row>
    <row r="5" ht="20" customHeight="1">
      <c r="A5" s="5" t="inlineStr">
        <is>
          <t>Активных пользователей (MAU)</t>
        </is>
      </c>
      <c r="B5" s="6" t="n">
        <v>1200000</v>
      </c>
      <c r="C5" s="7" t="n"/>
    </row>
    <row r="6" ht="20" customHeight="1">
      <c r="A6" s="5" t="inlineStr">
        <is>
          <t>Платящих пользователей</t>
        </is>
      </c>
      <c r="B6" s="6" t="n">
        <v>180000</v>
      </c>
      <c r="C6" s="7" t="n"/>
    </row>
    <row r="7" ht="20" customHeight="1">
      <c r="A7" s="5" t="inlineStr">
        <is>
          <t>Количество заказов</t>
        </is>
      </c>
      <c r="B7" s="6" t="n">
        <v>250000</v>
      </c>
      <c r="C7" s="7" t="n"/>
    </row>
    <row r="8" ht="20" customHeight="1">
      <c r="A8" s="5" t="inlineStr">
        <is>
          <t>GMV, ₽</t>
        </is>
      </c>
      <c r="B8" s="6" t="n">
        <v>750000000</v>
      </c>
      <c r="C8" s="7" t="n"/>
    </row>
    <row r="9" ht="20" customHeight="1">
      <c r="A9" s="5" t="inlineStr">
        <is>
          <t>Revenue, ₽</t>
        </is>
      </c>
      <c r="B9" s="6" t="n">
        <v>112500000</v>
      </c>
      <c r="C9" s="7" t="n"/>
    </row>
    <row r="10" ht="22" customHeight="1">
      <c r="A10" s="4" t="inlineStr">
        <is>
          <t>РАССЧИТАЙ МЕТРИКИ</t>
        </is>
      </c>
    </row>
    <row r="11" ht="18" customHeight="1">
      <c r="A11" s="8" t="inlineStr">
        <is>
          <t>Метрика</t>
        </is>
      </c>
      <c r="B11" s="8" t="inlineStr">
        <is>
          <t>Формула / Расчёт</t>
        </is>
      </c>
      <c r="C11" s="8" t="inlineStr">
        <is>
          <t>Результат</t>
        </is>
      </c>
    </row>
    <row r="12" ht="20" customHeight="1">
      <c r="A12" s="5" t="inlineStr">
        <is>
          <t>Take Rate, %</t>
        </is>
      </c>
      <c r="B12" s="9">
        <f>Revenue/GMV*100</f>
        <v/>
      </c>
      <c r="C12" s="10" t="n"/>
    </row>
    <row r="13" ht="20" customHeight="1">
      <c r="A13" s="5" t="inlineStr">
        <is>
          <t>AOV (средний чек), ₽</t>
        </is>
      </c>
      <c r="B13" s="9">
        <f>GMV/Заказов</f>
        <v/>
      </c>
      <c r="C13" s="10" t="n"/>
    </row>
    <row r="14" ht="20" customHeight="1">
      <c r="A14" s="5" t="inlineStr">
        <is>
          <t>ARPU, ₽</t>
        </is>
      </c>
      <c r="B14" s="9">
        <f>Revenue/MAU</f>
        <v/>
      </c>
      <c r="C14" s="10" t="n"/>
    </row>
    <row r="15" ht="20" customHeight="1">
      <c r="A15" s="5" t="inlineStr">
        <is>
          <t>ARPPU, ₽</t>
        </is>
      </c>
      <c r="B15" s="9">
        <f>Revenue/Платящих</f>
        <v/>
      </c>
      <c r="C15" s="10" t="n"/>
    </row>
    <row r="16" ht="20" customHeight="1">
      <c r="A16" s="5" t="inlineStr">
        <is>
          <t>Доля платящих пользователей, %</t>
        </is>
      </c>
      <c r="B16" s="9">
        <f>Платящих/MAU*100</f>
        <v/>
      </c>
      <c r="C16" s="10" t="n"/>
    </row>
    <row r="17" ht="20" customHeight="1">
      <c r="A17" s="5" t="inlineStr">
        <is>
          <t>Заказов на платящего в месяц</t>
        </is>
      </c>
      <c r="B17" s="9">
        <f>Заказов/Платящих</f>
        <v/>
      </c>
      <c r="C17" s="10" t="n"/>
    </row>
    <row r="19" ht="18" customHeight="1">
      <c r="A19" s="4" t="inlineStr">
        <is>
          <t>ВОПРОС ДЛЯ АНАЛИЗА</t>
        </is>
      </c>
    </row>
    <row r="20" ht="45" customHeight="1">
      <c r="A20" s="11" t="inlineStr">
        <is>
          <t>GMV вырос на 15% в следующем месяце, Revenue — на 8%. Что могло произойти? Назови две гипотезы.</t>
        </is>
      </c>
    </row>
    <row r="21" ht="50" customHeight="1">
      <c r="A21" s="12" t="inlineStr">
        <is>
          <t>Твой ответ:</t>
        </is>
      </c>
    </row>
  </sheetData>
  <mergeCells count="8">
    <mergeCell ref="A1:C1"/>
    <mergeCell ref="A2:C2"/>
    <mergeCell ref="A3:C3"/>
    <mergeCell ref="A4:C4"/>
    <mergeCell ref="A10:C10"/>
    <mergeCell ref="A19:C19"/>
    <mergeCell ref="A20:C20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6" customWidth="1" min="4" max="4"/>
  </cols>
  <sheetData>
    <row r="1" ht="30" customHeight="1">
      <c r="A1" s="1" t="inlineStr">
        <is>
          <t>Лист 2 — SaaS-подписка (B2B)</t>
        </is>
      </c>
    </row>
    <row r="2" ht="20" customHeight="1">
      <c r="A2" s="13" t="inlineStr">
        <is>
          <t>Сервис по управлению проектами. Продаёт ежемесячную подписку командам.</t>
        </is>
      </c>
    </row>
    <row r="3" ht="18" customHeight="1">
      <c r="A3" s="3" t="inlineStr">
        <is>
          <t>🟡 Жёлтые ячейки — заполни формулой.  ✅ Зелёные — итоговые выводы.</t>
        </is>
      </c>
    </row>
    <row r="4" ht="22" customHeight="1">
      <c r="A4" s="4" t="inlineStr">
        <is>
          <t>ИСХОДНЫЕ ДАННЫЕ</t>
        </is>
      </c>
    </row>
    <row r="5" ht="20" customHeight="1">
      <c r="A5" s="5" t="inlineStr">
        <is>
          <t>Расходы на маркетинг, ₽/мес</t>
        </is>
      </c>
      <c r="B5" s="6" t="n">
        <v>4500000</v>
      </c>
      <c r="C5" s="7" t="n"/>
    </row>
    <row r="6" ht="20" customHeight="1">
      <c r="A6" s="5" t="inlineStr">
        <is>
          <t>Новых платящих клиентов /мес</t>
        </is>
      </c>
      <c r="B6" s="6" t="n">
        <v>300</v>
      </c>
      <c r="C6" s="7" t="n"/>
    </row>
    <row r="7" ht="20" customHeight="1">
      <c r="A7" s="5" t="inlineStr">
        <is>
          <t>ARPPU, ₽/мес</t>
        </is>
      </c>
      <c r="B7" s="6" t="n">
        <v>15000</v>
      </c>
      <c r="C7" s="7" t="n"/>
    </row>
    <row r="8" ht="20" customHeight="1">
      <c r="A8" s="5" t="inlineStr">
        <is>
          <t>Churn Rate, % в месяц</t>
        </is>
      </c>
      <c r="B8" s="14" t="n">
        <v>3</v>
      </c>
      <c r="C8" s="7" t="n"/>
    </row>
    <row r="10" ht="22" customHeight="1">
      <c r="A10" s="4" t="inlineStr">
        <is>
          <t>РАССЧИТАЙ МЕТРИКИ</t>
        </is>
      </c>
    </row>
    <row r="11" ht="18" customHeight="1">
      <c r="A11" s="8" t="inlineStr">
        <is>
          <t>Метрика</t>
        </is>
      </c>
      <c r="B11" s="8" t="inlineStr">
        <is>
          <t>Подсказка</t>
        </is>
      </c>
      <c r="C11" s="8" t="inlineStr">
        <is>
          <t>Результат</t>
        </is>
      </c>
    </row>
    <row r="12" ht="20" customHeight="1">
      <c r="A12" s="5" t="inlineStr">
        <is>
          <t>CAC, ₽</t>
        </is>
      </c>
      <c r="B12" s="15" t="inlineStr">
        <is>
          <t>Маркетинг ÷ Новых платящих</t>
        </is>
      </c>
      <c r="C12" s="10" t="n"/>
    </row>
    <row r="13" ht="20" customHeight="1">
      <c r="A13" s="5" t="inlineStr">
        <is>
          <t>Средняя жизнь клиента, мес</t>
        </is>
      </c>
      <c r="B13" s="15" t="inlineStr">
        <is>
          <t>1 ÷ Churn Rate</t>
        </is>
      </c>
      <c r="C13" s="10" t="n"/>
    </row>
    <row r="14" ht="20" customHeight="1">
      <c r="A14" s="5" t="inlineStr">
        <is>
          <t>LTV, ₽</t>
        </is>
      </c>
      <c r="B14" s="15" t="inlineStr">
        <is>
          <t>ARPPU × Средняя жизнь</t>
        </is>
      </c>
      <c r="C14" s="10" t="n"/>
    </row>
    <row r="15" ht="20" customHeight="1">
      <c r="A15" s="5" t="inlineStr">
        <is>
          <t>LTV / CAC</t>
        </is>
      </c>
      <c r="B15" s="15" t="inlineStr">
        <is>
          <t>LTV ÷ CAC</t>
        </is>
      </c>
      <c r="C15" s="10" t="n"/>
    </row>
    <row r="16" ht="20" customHeight="1">
      <c r="A16" s="5" t="inlineStr">
        <is>
          <t>Payback Period, мес</t>
        </is>
      </c>
      <c r="B16" s="15" t="inlineStr">
        <is>
          <t>CAC ÷ ARPPU</t>
        </is>
      </c>
      <c r="C16" s="10" t="n"/>
    </row>
    <row r="18" ht="22" customHeight="1">
      <c r="A18" s="4" t="inlineStr">
        <is>
          <t>ТАБЛИЦА ЧУВСТВИТЕЛЬНОСТИ — как churn влияет на LTV</t>
        </is>
      </c>
    </row>
    <row r="19" ht="18" customHeight="1">
      <c r="A19" s="8" t="inlineStr">
        <is>
          <t>Churn Rate</t>
        </is>
      </c>
      <c r="B19" s="8" t="inlineStr">
        <is>
          <t>Средняя жизнь, мес</t>
        </is>
      </c>
      <c r="C19" s="8" t="inlineStr">
        <is>
          <t>LTV, ₽</t>
        </is>
      </c>
      <c r="D19" s="8" t="inlineStr">
        <is>
          <t>LTV/CAC</t>
        </is>
      </c>
    </row>
    <row r="20" ht="20" customHeight="1">
      <c r="A20" s="16" t="inlineStr">
        <is>
          <t>1%</t>
        </is>
      </c>
      <c r="B20" s="10" t="n"/>
      <c r="C20" s="10" t="n"/>
      <c r="D20" s="10" t="n"/>
    </row>
    <row r="21" ht="20" customHeight="1">
      <c r="A21" s="16" t="inlineStr">
        <is>
          <t>3%</t>
        </is>
      </c>
      <c r="B21" s="10" t="n"/>
      <c r="C21" s="10" t="n"/>
      <c r="D21" s="10" t="n"/>
    </row>
    <row r="22" ht="20" customHeight="1">
      <c r="A22" s="16" t="inlineStr">
        <is>
          <t>5%</t>
        </is>
      </c>
      <c r="B22" s="10" t="n"/>
      <c r="C22" s="10" t="n"/>
      <c r="D22" s="10" t="n"/>
    </row>
    <row r="23" ht="20" customHeight="1">
      <c r="A23" s="16" t="inlineStr">
        <is>
          <t>10%</t>
        </is>
      </c>
      <c r="B23" s="10" t="n"/>
      <c r="C23" s="10" t="n"/>
      <c r="D23" s="10" t="n"/>
    </row>
    <row r="25" ht="22" customHeight="1">
      <c r="A25" s="4" t="inlineStr">
        <is>
          <t>ВОПРОС ДЛЯ АНАЛИЗА</t>
        </is>
      </c>
    </row>
    <row r="26" ht="45" customHeight="1">
      <c r="A26" s="11" t="inlineStr">
        <is>
          <t>При каком churn unit-экономика перестаёт быть устойчивой (LTV/CAC &lt; 3)? Что это значит для продукта?</t>
        </is>
      </c>
    </row>
    <row r="27" ht="50" customHeight="1">
      <c r="A27" s="12" t="inlineStr">
        <is>
          <t>Твой ответ:</t>
        </is>
      </c>
    </row>
  </sheetData>
  <mergeCells count="9">
    <mergeCell ref="A1:C1"/>
    <mergeCell ref="A2:C2"/>
    <mergeCell ref="A3:C3"/>
    <mergeCell ref="A4:C4"/>
    <mergeCell ref="A10:C10"/>
    <mergeCell ref="A18:C18"/>
    <mergeCell ref="A25:D25"/>
    <mergeCell ref="A26:D26"/>
    <mergeCell ref="A27:D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0" customWidth="1" min="9" max="9"/>
  </cols>
  <sheetData>
    <row r="1" ht="30" customHeight="1">
      <c r="A1" s="1" t="inlineStr">
        <is>
          <t>Лист 3 — EdTech-платформа: когортный анализ</t>
        </is>
      </c>
    </row>
    <row r="2" ht="20" customHeight="1">
      <c r="A2" s="13" t="inlineStr">
        <is>
          <t>Онлайн-курсы по аналитике. Данные retention (% от размера когорты на старте).</t>
        </is>
      </c>
    </row>
    <row r="3" ht="18" customHeight="1">
      <c r="A3" s="3" t="inlineStr">
        <is>
          <t>🟡 Жёлтые ячейки — заполни.  Часть B: посчитай абсолютные числа (размер × retention%).</t>
        </is>
      </c>
    </row>
    <row r="4" ht="22" customHeight="1">
      <c r="A4" s="4" t="inlineStr">
        <is>
          <t>ЧАСТЬ А — Retention % (дано)</t>
        </is>
      </c>
    </row>
    <row r="5" ht="18" customHeight="1">
      <c r="A5" s="8" t="inlineStr">
        <is>
          <t>Когорта</t>
        </is>
      </c>
      <c r="B5" s="8" t="inlineStr">
        <is>
          <t>Размер</t>
        </is>
      </c>
      <c r="C5" s="8" t="inlineStr">
        <is>
          <t>M1</t>
        </is>
      </c>
      <c r="D5" s="8" t="inlineStr">
        <is>
          <t>M2</t>
        </is>
      </c>
      <c r="E5" s="8" t="inlineStr">
        <is>
          <t>M3</t>
        </is>
      </c>
      <c r="F5" s="8" t="inlineStr">
        <is>
          <t>M4</t>
        </is>
      </c>
      <c r="G5" s="8" t="inlineStr">
        <is>
          <t>M5</t>
        </is>
      </c>
      <c r="H5" s="8" t="inlineStr">
        <is>
          <t>M6</t>
        </is>
      </c>
    </row>
    <row r="6" ht="20" customHeight="1">
      <c r="A6" s="17" t="inlineStr">
        <is>
          <t>Январь</t>
        </is>
      </c>
      <c r="B6" s="6" t="n">
        <v>500</v>
      </c>
      <c r="C6" s="18" t="n">
        <v>0.65</v>
      </c>
      <c r="D6" s="18" t="n">
        <v>0.48</v>
      </c>
      <c r="E6" s="18" t="n">
        <v>0.38</v>
      </c>
      <c r="F6" s="18" t="n">
        <v>0.2</v>
      </c>
      <c r="G6" s="18" t="n">
        <v>0.18</v>
      </c>
      <c r="H6" s="18" t="n">
        <v>0.17</v>
      </c>
    </row>
    <row r="7" ht="20" customHeight="1">
      <c r="A7" s="17" t="inlineStr">
        <is>
          <t>Февраль</t>
        </is>
      </c>
      <c r="B7" s="6" t="n">
        <v>480</v>
      </c>
      <c r="C7" s="18" t="n">
        <v>0.63</v>
      </c>
      <c r="D7" s="18" t="n">
        <v>0.47</v>
      </c>
      <c r="E7" s="18" t="n">
        <v>0.36</v>
      </c>
      <c r="F7" s="18" t="n">
        <v>0.19</v>
      </c>
      <c r="G7" s="18" t="n">
        <v>0.17</v>
      </c>
      <c r="H7" s="19" t="inlineStr">
        <is>
          <t>—</t>
        </is>
      </c>
    </row>
    <row r="8" ht="20" customHeight="1">
      <c r="A8" s="17" t="inlineStr">
        <is>
          <t>Март</t>
        </is>
      </c>
      <c r="B8" s="6" t="n">
        <v>620</v>
      </c>
      <c r="C8" s="18" t="n">
        <v>0.68</v>
      </c>
      <c r="D8" s="18" t="n">
        <v>0.52</v>
      </c>
      <c r="E8" s="18" t="n">
        <v>0.42</v>
      </c>
      <c r="F8" s="18" t="n">
        <v>0.24</v>
      </c>
      <c r="G8" s="19" t="inlineStr">
        <is>
          <t>—</t>
        </is>
      </c>
      <c r="H8" s="19" t="inlineStr">
        <is>
          <t>—</t>
        </is>
      </c>
    </row>
    <row r="9" ht="20" customHeight="1">
      <c r="A9" s="17" t="inlineStr">
        <is>
          <t>Апрель</t>
        </is>
      </c>
      <c r="B9" s="6" t="n">
        <v>590</v>
      </c>
      <c r="C9" s="18" t="n">
        <v>0.7</v>
      </c>
      <c r="D9" s="18" t="n">
        <v>0.55</v>
      </c>
      <c r="E9" s="18" t="n">
        <v>0.45</v>
      </c>
      <c r="F9" s="19" t="inlineStr">
        <is>
          <t>—</t>
        </is>
      </c>
      <c r="G9" s="19" t="inlineStr">
        <is>
          <t>—</t>
        </is>
      </c>
      <c r="H9" s="19" t="inlineStr">
        <is>
          <t>—</t>
        </is>
      </c>
    </row>
    <row r="10" ht="20" customHeight="1">
      <c r="A10" s="17" t="inlineStr">
        <is>
          <t>Май</t>
        </is>
      </c>
      <c r="B10" s="6" t="n">
        <v>710</v>
      </c>
      <c r="C10" s="18" t="n">
        <v>0.72</v>
      </c>
      <c r="D10" s="18" t="n">
        <v>0.57</v>
      </c>
      <c r="E10" s="19" t="inlineStr">
        <is>
          <t>—</t>
        </is>
      </c>
      <c r="F10" s="19" t="inlineStr">
        <is>
          <t>—</t>
        </is>
      </c>
      <c r="G10" s="19" t="inlineStr">
        <is>
          <t>—</t>
        </is>
      </c>
      <c r="H10" s="19" t="inlineStr">
        <is>
          <t>—</t>
        </is>
      </c>
    </row>
    <row r="11" ht="20" customHeight="1">
      <c r="A11" s="17" t="inlineStr">
        <is>
          <t>Июнь</t>
        </is>
      </c>
      <c r="B11" s="6" t="n">
        <v>680</v>
      </c>
      <c r="C11" s="18" t="n">
        <v>0.75</v>
      </c>
      <c r="D11" s="19" t="inlineStr">
        <is>
          <t>—</t>
        </is>
      </c>
      <c r="E11" s="19" t="inlineStr">
        <is>
          <t>—</t>
        </is>
      </c>
      <c r="F11" s="19" t="inlineStr">
        <is>
          <t>—</t>
        </is>
      </c>
      <c r="G11" s="19" t="inlineStr">
        <is>
          <t>—</t>
        </is>
      </c>
      <c r="H11" s="19" t="inlineStr">
        <is>
          <t>—</t>
        </is>
      </c>
    </row>
    <row r="13" ht="22" customHeight="1">
      <c r="A13" s="4" t="inlineStr">
        <is>
          <t>ЧАСТЬ Б — Абсолютное число активных (посчитай сам: Размер × Retention%)</t>
        </is>
      </c>
    </row>
    <row r="14" ht="18" customHeight="1">
      <c r="A14" s="8" t="inlineStr">
        <is>
          <t>Когорта</t>
        </is>
      </c>
      <c r="B14" s="8" t="inlineStr">
        <is>
          <t>Размер</t>
        </is>
      </c>
      <c r="C14" s="8" t="inlineStr">
        <is>
          <t>M1</t>
        </is>
      </c>
      <c r="D14" s="8" t="inlineStr">
        <is>
          <t>M2</t>
        </is>
      </c>
      <c r="E14" s="8" t="inlineStr">
        <is>
          <t>M3</t>
        </is>
      </c>
      <c r="F14" s="8" t="inlineStr">
        <is>
          <t>M4</t>
        </is>
      </c>
      <c r="G14" s="8" t="inlineStr">
        <is>
          <t>M5</t>
        </is>
      </c>
      <c r="H14" s="8" t="inlineStr">
        <is>
          <t>M6</t>
        </is>
      </c>
    </row>
    <row r="15" ht="20" customHeight="1">
      <c r="A15" s="17" t="inlineStr">
        <is>
          <t>Январь</t>
        </is>
      </c>
      <c r="B15" s="6" t="n">
        <v>500</v>
      </c>
      <c r="C15" s="10" t="n"/>
      <c r="D15" s="10" t="n"/>
      <c r="E15" s="10" t="n"/>
      <c r="F15" s="10" t="n"/>
      <c r="G15" s="10" t="n"/>
      <c r="H15" s="10" t="n"/>
    </row>
    <row r="16" ht="20" customHeight="1">
      <c r="A16" s="17" t="inlineStr">
        <is>
          <t>Февраль</t>
        </is>
      </c>
      <c r="B16" s="6" t="n">
        <v>480</v>
      </c>
      <c r="C16" s="10" t="n"/>
      <c r="D16" s="10" t="n"/>
      <c r="E16" s="10" t="n"/>
      <c r="F16" s="10" t="n"/>
      <c r="G16" s="10" t="n"/>
      <c r="H16" s="19" t="inlineStr">
        <is>
          <t>—</t>
        </is>
      </c>
    </row>
    <row r="17" ht="20" customHeight="1">
      <c r="A17" s="17" t="inlineStr">
        <is>
          <t>Март</t>
        </is>
      </c>
      <c r="B17" s="6" t="n">
        <v>620</v>
      </c>
      <c r="C17" s="10" t="n"/>
      <c r="D17" s="10" t="n"/>
      <c r="E17" s="10" t="n"/>
      <c r="F17" s="10" t="n"/>
      <c r="G17" s="19" t="inlineStr">
        <is>
          <t>—</t>
        </is>
      </c>
      <c r="H17" s="19" t="inlineStr">
        <is>
          <t>—</t>
        </is>
      </c>
    </row>
    <row r="18" ht="20" customHeight="1">
      <c r="A18" s="17" t="inlineStr">
        <is>
          <t>Апрель</t>
        </is>
      </c>
      <c r="B18" s="6" t="n">
        <v>590</v>
      </c>
      <c r="C18" s="10" t="n"/>
      <c r="D18" s="10" t="n"/>
      <c r="E18" s="10" t="n"/>
      <c r="F18" s="19" t="inlineStr">
        <is>
          <t>—</t>
        </is>
      </c>
      <c r="G18" s="19" t="inlineStr">
        <is>
          <t>—</t>
        </is>
      </c>
      <c r="H18" s="19" t="inlineStr">
        <is>
          <t>—</t>
        </is>
      </c>
    </row>
    <row r="19" ht="20" customHeight="1">
      <c r="A19" s="17" t="inlineStr">
        <is>
          <t>Май</t>
        </is>
      </c>
      <c r="B19" s="6" t="n">
        <v>710</v>
      </c>
      <c r="C19" s="10" t="n"/>
      <c r="D19" s="10" t="n"/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9" t="inlineStr">
        <is>
          <t>—</t>
        </is>
      </c>
    </row>
    <row r="20" ht="20" customHeight="1">
      <c r="A20" s="17" t="inlineStr">
        <is>
          <t>Июнь</t>
        </is>
      </c>
      <c r="B20" s="6" t="n">
        <v>680</v>
      </c>
      <c r="C20" s="10" t="n"/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9" t="inlineStr">
        <is>
          <t>—</t>
        </is>
      </c>
    </row>
    <row r="22" ht="22" customHeight="1">
      <c r="A22" s="4" t="inlineStr">
        <is>
          <t>ЧАСТЬ В — Анализ</t>
        </is>
      </c>
    </row>
    <row r="23" ht="40" customHeight="1">
      <c r="A23" s="20" t="inlineStr">
        <is>
          <t>1. Посчитай M3 retention для каждой когорты где он есть. Есть ли тренд?</t>
        </is>
      </c>
      <c r="E23" s="12" t="inlineStr">
        <is>
          <t>Твой ответ:</t>
        </is>
      </c>
    </row>
    <row r="24" ht="40" customHeight="1">
      <c r="A24" s="20" t="inlineStr">
        <is>
          <t>2. Посчитай среднее M1 retention по всем когортам.</t>
        </is>
      </c>
      <c r="E24" s="12" t="inlineStr">
        <is>
          <t>Твой ответ:</t>
        </is>
      </c>
    </row>
    <row r="25" ht="40" customHeight="1">
      <c r="A25" s="20" t="inlineStr">
        <is>
          <t>3. Retention растёт от когорты к когорте. Какие три гипотезы объясняют рост?</t>
        </is>
      </c>
      <c r="E25" s="12" t="inlineStr">
        <is>
          <t>Твой ответ:</t>
        </is>
      </c>
    </row>
    <row r="26" ht="40" customHeight="1">
      <c r="A26" s="20" t="inlineStr">
        <is>
          <t>4. Июньская когорта самая большая (680 студентов). Что могло привлечь больше студентов?</t>
        </is>
      </c>
      <c r="E26" s="12" t="inlineStr">
        <is>
          <t>Твой ответ:</t>
        </is>
      </c>
    </row>
  </sheetData>
  <mergeCells count="14">
    <mergeCell ref="A1:I1"/>
    <mergeCell ref="A2:I2"/>
    <mergeCell ref="A3:I3"/>
    <mergeCell ref="A4:I4"/>
    <mergeCell ref="A13:I13"/>
    <mergeCell ref="A22:I22"/>
    <mergeCell ref="A23:D23"/>
    <mergeCell ref="E23:I23"/>
    <mergeCell ref="A24:D24"/>
    <mergeCell ref="E24:I24"/>
    <mergeCell ref="A25:D25"/>
    <mergeCell ref="E25:I25"/>
    <mergeCell ref="A26:D26"/>
    <mergeCell ref="E26:I26"/>
  </mergeCells>
  <conditionalFormatting sqref="C6:H11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2026-02-27T14:09:13Z</dcterms:created>
  <dcterms:modified xmlns:dcterms="http://purl.org/dc/terms/" xmlns:xsi="http://www.w3.org/2001/XMLSchema-instance" xsi:type="dcterms:W3CDTF">2026-02-27T14:09:13Z</dcterms:modified>
</cp:coreProperties>
</file>